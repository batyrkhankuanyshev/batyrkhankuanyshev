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F" sheetId="1" r:id="rId5"/>
    <sheet state="visible" name="Comps" sheetId="2" r:id="rId6"/>
    <sheet state="visible" name="WACC" sheetId="3" r:id="rId7"/>
  </sheets>
  <definedNames/>
  <calcPr/>
</workbook>
</file>

<file path=xl/sharedStrings.xml><?xml version="1.0" encoding="utf-8"?>
<sst xmlns="http://schemas.openxmlformats.org/spreadsheetml/2006/main" count="142" uniqueCount="139">
  <si>
    <t>KASPI.KZ (KSPI)  │  Discounted Cash Flow Model  │  Amounts in USD $M</t>
  </si>
  <si>
    <t>Notes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</si>
  <si>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</si>
  <si>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</si>
  <si>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</si>
  <si>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</si>
  <si>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</si>
  <si>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</si>
  <si>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</si>
  <si>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</si>
  <si>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</si>
  <si>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 xml:space="preserve">  I.  INCOME STATEMENT</t>
  </si>
  <si>
    <t xml:space="preserve">  Total Revenue</t>
  </si>
  <si>
    <t>Source: KSPI IR / Macrotrends</t>
  </si>
  <si>
    <t xml:space="preserve">    Revenue Growth (YoY)</t>
  </si>
  <si>
    <t>—</t>
  </si>
  <si>
    <t xml:space="preserve">    EBITDA Margin %</t>
  </si>
  <si>
    <t xml:space="preserve">    EBITDA</t>
  </si>
  <si>
    <t xml:space="preserve">    D&amp;A % Revenue</t>
  </si>
  <si>
    <t xml:space="preserve">    D&amp;A</t>
  </si>
  <si>
    <t xml:space="preserve">    EBIT</t>
  </si>
  <si>
    <t xml:space="preserve">    Tax Rate %</t>
  </si>
  <si>
    <t xml:space="preserve">    Taxes</t>
  </si>
  <si>
    <t xml:space="preserve">    NOPAT  (EBIT × (1−t))</t>
  </si>
  <si>
    <t xml:space="preserve">  II.  FREE CASH FLOW BRIDGE  (NOPAT → UFCF)</t>
  </si>
  <si>
    <t xml:space="preserve">    CapEx % Revenue</t>
  </si>
  <si>
    <t xml:space="preserve">    CapEx</t>
  </si>
  <si>
    <t xml:space="preserve">    Change in NWC</t>
  </si>
  <si>
    <t xml:space="preserve">    Unlevered Free Cash Flow (UFCF)</t>
  </si>
  <si>
    <t xml:space="preserve">  III.  DISCOUNTING  (Mid-Year Convention)</t>
  </si>
  <si>
    <t xml:space="preserve">    WACC (from WACC sheet)</t>
  </si>
  <si>
    <t xml:space="preserve">    Projection Year #</t>
  </si>
  <si>
    <t xml:space="preserve">    Mid-Year Discount Factor</t>
  </si>
  <si>
    <t xml:space="preserve">    PV of UFCF</t>
  </si>
  <si>
    <t xml:space="preserve">    Sum PV (UFCF)</t>
  </si>
  <si>
    <t xml:space="preserve">  IV.  TERMINAL VALUE  (Gordon Growth Model)</t>
  </si>
  <si>
    <t xml:space="preserve">    Terminal Growth Rate (TGR)</t>
  </si>
  <si>
    <t>Yellow = key assumption</t>
  </si>
  <si>
    <t xml:space="preserve">    Terminal Year UFCF × (1+TGR)</t>
  </si>
  <si>
    <t xml:space="preserve">    Terminal Value (undiscounted)</t>
  </si>
  <si>
    <t xml:space="preserve">    PV of Terminal Value</t>
  </si>
  <si>
    <t xml:space="preserve">  V.  EV → EQUITY → IMPLIED SHARE PRICE BRIDGE</t>
  </si>
  <si>
    <t xml:space="preserve">  Enterprise Value (EV)</t>
  </si>
  <si>
    <t xml:space="preserve">  (+) Cash &amp; Equivalents</t>
  </si>
  <si>
    <t>Source: KSPI 2025 IR</t>
  </si>
  <si>
    <t xml:space="preserve">  (−) Total Debt</t>
  </si>
  <si>
    <t xml:space="preserve">  (−) Minority Interest</t>
  </si>
  <si>
    <t xml:space="preserve">  Equity Value</t>
  </si>
  <si>
    <t xml:space="preserve">  Shares Outstanding (M)</t>
  </si>
  <si>
    <t>190.23M; MacroTrends</t>
  </si>
  <si>
    <t xml:space="preserve">  Implied Share Price (USD)</t>
  </si>
  <si>
    <t xml:space="preserve">  Current Market Price (USD)</t>
  </si>
  <si>
    <t>NASDAQ ~May 2026</t>
  </si>
  <si>
    <t xml:space="preserve">  Implied Upside / (Downside)</t>
  </si>
  <si>
    <t xml:space="preserve">  VI.  SENSITIVITY TABLE  —  Implied Share Price (WACC vs Terminal Growth Rate)</t>
  </si>
  <si>
    <t>WACC \ TGR →</t>
  </si>
  <si>
    <t>KASPI.KZ (KSPI)  │  Public Comparables  │  USD $M</t>
  </si>
  <si>
    <t>Company</t>
  </si>
  <si>
    <t>Ticker</t>
  </si>
  <si>
    <t>Rev LTM</t>
  </si>
  <si>
    <t>EBITDA LTM</t>
  </si>
  <si>
    <t>EBITDA %</t>
  </si>
  <si>
    <t>Mkt Cap</t>
  </si>
  <si>
    <t>Net Debt</t>
  </si>
  <si>
    <t>EV</t>
  </si>
  <si>
    <t>EV/Rev</t>
  </si>
  <si>
    <t>EV/EBITDA</t>
  </si>
  <si>
    <t>MercadoLibre</t>
  </si>
  <si>
    <t>MELI</t>
  </si>
  <si>
    <t>Sea Limited</t>
  </si>
  <si>
    <t>SE</t>
  </si>
  <si>
    <t>Adyen</t>
  </si>
  <si>
    <t>ADYEN.AS</t>
  </si>
  <si>
    <t>StoneCo</t>
  </si>
  <si>
    <t>STNE</t>
  </si>
  <si>
    <t>PagSeguro</t>
  </si>
  <si>
    <t>PAGS</t>
  </si>
  <si>
    <t>Allegro.eu</t>
  </si>
  <si>
    <t>ALE.WA</t>
  </si>
  <si>
    <t>Network Intl</t>
  </si>
  <si>
    <t>NETW</t>
  </si>
  <si>
    <t>Fiserv</t>
  </si>
  <si>
    <t>FI</t>
  </si>
  <si>
    <t xml:space="preserve">  25th Percentile</t>
  </si>
  <si>
    <t xml:space="preserve">  Median</t>
  </si>
  <si>
    <t xml:space="preserve">  Mean</t>
  </si>
  <si>
    <t xml:space="preserve">  75th Percentile</t>
  </si>
  <si>
    <t xml:space="preserve">  IMPLIED VALUATION  —  Plug in KSPI Financials</t>
  </si>
  <si>
    <t xml:space="preserve">  KSPI Rev LTM ($M)</t>
  </si>
  <si>
    <t xml:space="preserve">  KSPI EBITDA LTM ($M)</t>
  </si>
  <si>
    <t xml:space="preserve">  KSPI Net Debt ($M)</t>
  </si>
  <si>
    <t xml:space="preserve">  KSPI Shares Out (M)</t>
  </si>
  <si>
    <t xml:space="preserve">  EV (via EV/Rev median)</t>
  </si>
  <si>
    <t xml:space="preserve">  EV (via EV/EBITDA median)</t>
  </si>
  <si>
    <t xml:space="preserve">  Price (EV/Rev method)</t>
  </si>
  <si>
    <t xml:space="preserve">  Price (EV/EBITDA method)</t>
  </si>
  <si>
    <t xml:space="preserve">  FOOTBALL FIELD  —  Valuation Summary (Implied Share Price, USD)</t>
  </si>
  <si>
    <t xml:space="preserve">  DCF (Base Case)</t>
  </si>
  <si>
    <t xml:space="preserve">  EV/Revenue (Median)</t>
  </si>
  <si>
    <t xml:space="preserve">  EV/EBITDA (Median)</t>
  </si>
  <si>
    <t xml:space="preserve">  52-Week High (USD)</t>
  </si>
  <si>
    <t xml:space="preserve">  52-Week Low (USD)</t>
  </si>
  <si>
    <t xml:space="preserve">  Current Price (USD)</t>
  </si>
  <si>
    <t>KASPI.KZ (KSPI)  │  WACC Build  │  CAPM Cost of Equity + After-Tax Cost of Debt</t>
  </si>
  <si>
    <t xml:space="preserve">  COST OF EQUITY  (CAPM: Ke = Rf + β×ERP + Size + CRP)</t>
  </si>
  <si>
    <t xml:space="preserve">  Risk-Free Rate (Rf)</t>
  </si>
  <si>
    <t>US 10Y Treasury ~May 2026</t>
  </si>
  <si>
    <t xml:space="preserve">  Equity Risk Premium (ERP)</t>
  </si>
  <si>
    <t>Damodaran global ERP for EM markets</t>
  </si>
  <si>
    <t xml:space="preserve">  Beta (β) — Levered</t>
  </si>
  <si>
    <t>KSPI vs NASDAQ; low-vol fintech stock</t>
  </si>
  <si>
    <t xml:space="preserve">  Size / Illiquidity Premium</t>
  </si>
  <si>
    <t>Small EM market adjustment</t>
  </si>
  <si>
    <t xml:space="preserve">  Country Risk Premium (Kazakhstan)</t>
  </si>
  <si>
    <t>Damodaran CRP Kazakhstan 2025</t>
  </si>
  <si>
    <t xml:space="preserve">  Cost of Equity (Ke)</t>
  </si>
  <si>
    <t>CAPM formula: Rf + β×ERP + Size + CRP</t>
  </si>
  <si>
    <t xml:space="preserve">  COST OF DEBT</t>
  </si>
  <si>
    <t xml:space="preserve">  Pre-Tax Cost of Debt (Kd)</t>
  </si>
  <si>
    <t>KSPI weighted avg borrowing rate 2025</t>
  </si>
  <si>
    <t xml:space="preserve">  Tax Rate (Kazakhstan CIT)</t>
  </si>
  <si>
    <t>Kazakhstan corporate income tax</t>
  </si>
  <si>
    <t xml:space="preserve">  After-Tax Cost of Debt</t>
  </si>
  <si>
    <t>Kd × (1 − t)</t>
  </si>
  <si>
    <t xml:space="preserve">  CAPITAL STRUCTURE  (Market Value Weights)</t>
  </si>
  <si>
    <t xml:space="preserve">  Market Capitalization (Equity)</t>
  </si>
  <si>
    <t>~190M sh × $84; KSPI NASDAQ May 2026</t>
  </si>
  <si>
    <t xml:space="preserve">  Total Debt</t>
  </si>
  <si>
    <t>Source: KSPI IR 2025</t>
  </si>
  <si>
    <t xml:space="preserve">  Total Capital (Equity + Debt)</t>
  </si>
  <si>
    <t xml:space="preserve">  Weight of Equity (We)</t>
  </si>
  <si>
    <t xml:space="preserve">  Weight of Debt (Wd)</t>
  </si>
  <si>
    <t xml:space="preserve">  WACC OUTPUT</t>
  </si>
  <si>
    <t xml:space="preserve">  WACC  =  We×Ke  +  Wd×Kd(AT)</t>
  </si>
  <si>
    <t>Weighted Average Cost of Capital → feeds DCF Sheet 1</t>
  </si>
  <si>
    <t xml:space="preserve">  SENSITIVITY  —  Ke &amp; WACC at Varying Beta</t>
  </si>
  <si>
    <t xml:space="preserve">  Beta →</t>
  </si>
  <si>
    <t xml:space="preserve">  Ke</t>
  </si>
  <si>
    <t xml:space="preserve">  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</si>
</sst>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;\-"/>
    <numFmt numFmtId="165" formatCode="0.0%;\(0.0%\);\-"/>
    <numFmt numFmtId="166" formatCode="0.00%;\(0.00%\);\-"/>
    <numFmt numFmtId="167" formatCode="0.0000"/>
    <numFmt numFmtId="168" formatCode="\$#,##0.00;&quot;($&quot;#,##0.00\);\-"/>
    <numFmt numFmtId="169" formatCode="0.0\x;\(0.0&quot;x)&quot;;\-"/>
  </numFmts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8.0"/>
      <color rgb="FF595959"/>
      <name val="Arial"/>
    </font>
    <font>
      <sz val="10.0"/>
      <color rgb="FF000000"/>
      <name val="Arial"/>
    </font>
    <font>
      <sz val="10.0"/>
      <color rgb="FF0000FF"/>
      <name val="Arial"/>
    </font>
    <font>
      <sz val="10.0"/>
      <color rgb="FF008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0.0"/>
      <color rgb="FF0000FF"/>
      <name val="Arial"/>
    </font>
    <font>
      <b/>
      <sz val="2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EBF3FB"/>
        <bgColor rgb="FFEBF3F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4" fillId="4" fontId="8" numFmtId="164" xfId="0" applyAlignment="1" applyBorder="1" applyFill="1" applyFont="1" applyNumberFormat="1">
      <alignment horizontal="right" readingOrder="0" shrinkToFit="0" vertical="center" wrapText="0"/>
    </xf>
    <xf borderId="0" fillId="0" fontId="6" numFmtId="164" xfId="0" applyAlignment="1" applyFont="1" applyNumberFormat="1">
      <alignment horizontal="righ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8" numFmtId="165" xfId="0" applyAlignment="1" applyFont="1" applyNumberFormat="1">
      <alignment horizontal="right" shrinkToFit="0" vertical="center" wrapText="0"/>
    </xf>
    <xf borderId="4" fillId="4" fontId="9" numFmtId="165" xfId="0" applyAlignment="1" applyBorder="1" applyFont="1" applyNumberFormat="1">
      <alignment horizontal="right" shrinkToFit="0" vertical="center" wrapText="0"/>
    </xf>
    <xf borderId="4" fillId="4" fontId="8" numFmtId="165" xfId="0" applyAlignment="1" applyBorder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4" fillId="5" fontId="6" numFmtId="164" xfId="0" applyAlignment="1" applyBorder="1" applyFill="1" applyFont="1" applyNumberFormat="1">
      <alignment horizontal="right" shrinkToFit="0" vertical="center" wrapText="0"/>
    </xf>
    <xf borderId="4" fillId="4" fontId="8" numFmtId="10" xfId="0" applyAlignment="1" applyBorder="1" applyFont="1" applyNumberFormat="1">
      <alignment horizontal="right" readingOrder="0" shrinkToFit="0" vertical="center" wrapText="0"/>
    </xf>
    <xf borderId="4" fillId="4" fontId="8" numFmtId="9" xfId="0" applyAlignment="1" applyBorder="1" applyFont="1" applyNumberFormat="1">
      <alignment horizontal="right" readingOrder="0" shrinkToFit="0" vertical="center" wrapText="0"/>
    </xf>
    <xf borderId="4" fillId="6" fontId="6" numFmtId="164" xfId="0" applyAlignment="1" applyBorder="1" applyFill="1" applyFont="1" applyNumberFormat="1">
      <alignment horizontal="right" shrinkToFit="0" vertical="center" wrapText="0"/>
    </xf>
    <xf borderId="0" fillId="0" fontId="10" numFmtId="166" xfId="0" applyAlignment="1" applyFont="1" applyNumberFormat="1">
      <alignment horizontal="right" shrinkToFit="0" vertical="center" wrapText="0"/>
    </xf>
    <xf borderId="0" fillId="0" fontId="9" numFmtId="1" xfId="0" applyAlignment="1" applyFont="1" applyNumberFormat="1">
      <alignment horizontal="right" shrinkToFit="0" vertical="center" wrapText="0"/>
    </xf>
    <xf borderId="0" fillId="0" fontId="8" numFmtId="167" xfId="0" applyAlignment="1" applyFont="1" applyNumberFormat="1">
      <alignment horizontal="right" shrinkToFit="0" vertical="center" wrapText="0"/>
    </xf>
    <xf borderId="1" fillId="5" fontId="6" numFmtId="164" xfId="0" applyAlignment="1" applyBorder="1" applyFont="1" applyNumberFormat="1">
      <alignment horizontal="right" shrinkToFit="0" vertical="center" wrapText="0"/>
    </xf>
    <xf borderId="1" fillId="4" fontId="9" numFmtId="166" xfId="0" applyAlignment="1" applyBorder="1" applyFont="1" applyNumberFormat="1">
      <alignment horizontal="right" shrinkToFit="0" vertical="center" wrapText="0"/>
    </xf>
    <xf borderId="1" fillId="6" fontId="6" numFmtId="164" xfId="0" applyAlignment="1" applyBorder="1" applyFont="1" applyNumberFormat="1">
      <alignment horizontal="right" shrinkToFit="0" vertical="center" wrapText="0"/>
    </xf>
    <xf borderId="1" fillId="4" fontId="9" numFmtId="164" xfId="0" applyAlignment="1" applyBorder="1" applyFont="1" applyNumberFormat="1">
      <alignment horizontal="right" readingOrder="0" shrinkToFit="0" vertical="center" wrapText="0"/>
    </xf>
    <xf borderId="1" fillId="4" fontId="9" numFmtId="164" xfId="0" applyAlignment="1" applyBorder="1" applyFont="1" applyNumberFormat="1">
      <alignment horizontal="right" shrinkToFit="0" vertical="center" wrapText="0"/>
    </xf>
    <xf borderId="1" fillId="7" fontId="6" numFmtId="168" xfId="0" applyAlignment="1" applyBorder="1" applyFill="1" applyFont="1" applyNumberFormat="1">
      <alignment horizontal="right" shrinkToFit="0" vertical="center" wrapText="0"/>
    </xf>
    <xf borderId="1" fillId="4" fontId="9" numFmtId="168" xfId="0" applyAlignment="1" applyBorder="1" applyFont="1" applyNumberFormat="1">
      <alignment horizontal="right" shrinkToFit="0" vertical="center" wrapText="0"/>
    </xf>
    <xf borderId="0" fillId="0" fontId="6" numFmtId="165" xfId="0" applyAlignment="1" applyFont="1" applyNumberFormat="1">
      <alignment horizontal="right" shrinkToFit="0" vertical="center" wrapText="0"/>
    </xf>
    <xf borderId="4" fillId="3" fontId="4" numFmtId="165" xfId="0" applyAlignment="1" applyBorder="1" applyFont="1" applyNumberFormat="1">
      <alignment horizontal="center" shrinkToFit="0" vertical="center" wrapText="0"/>
    </xf>
    <xf borderId="0" fillId="0" fontId="11" numFmtId="168" xfId="0" applyAlignment="1" applyFont="1" applyNumberFormat="1">
      <alignment horizontal="center" shrinkToFit="0" vertical="center" wrapText="0"/>
    </xf>
    <xf borderId="4" fillId="8" fontId="3" numFmtId="0" xfId="0" applyAlignment="1" applyBorder="1" applyFill="1" applyFont="1">
      <alignment shrinkToFit="0" vertical="bottom" wrapText="0"/>
    </xf>
    <xf borderId="4" fillId="7" fontId="12" numFmtId="168" xfId="0" applyAlignment="1" applyBorder="1" applyFont="1" applyNumberFormat="1">
      <alignment horizontal="center" shrinkToFit="0" vertical="center" wrapText="0"/>
    </xf>
    <xf borderId="0" fillId="0" fontId="8" numFmtId="169" xfId="0" applyAlignment="1" applyFont="1" applyNumberFormat="1">
      <alignment horizontal="right" shrinkToFit="0" vertical="center" wrapText="0"/>
    </xf>
    <xf borderId="4" fillId="9" fontId="8" numFmtId="0" xfId="0" applyAlignment="1" applyBorder="1" applyFill="1" applyFont="1">
      <alignment horizontal="left" shrinkToFit="0" vertical="center" wrapText="0"/>
    </xf>
    <xf borderId="4" fillId="9" fontId="8" numFmtId="164" xfId="0" applyAlignment="1" applyBorder="1" applyFont="1" applyNumberFormat="1">
      <alignment horizontal="right" shrinkToFit="0" vertical="center" wrapText="0"/>
    </xf>
    <xf borderId="4" fillId="9" fontId="8" numFmtId="165" xfId="0" applyAlignment="1" applyBorder="1" applyFont="1" applyNumberFormat="1">
      <alignment horizontal="right" shrinkToFit="0" vertical="center" wrapText="0"/>
    </xf>
    <xf borderId="4" fillId="9" fontId="8" numFmtId="169" xfId="0" applyAlignment="1" applyBorder="1" applyFont="1" applyNumberFormat="1">
      <alignment horizontal="right" shrinkToFit="0" vertical="center" wrapText="0"/>
    </xf>
    <xf borderId="1" fillId="2" fontId="3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horizontal="left" shrinkToFit="0" vertical="center" wrapText="0"/>
    </xf>
    <xf borderId="4" fillId="5" fontId="6" numFmtId="169" xfId="0" applyAlignment="1" applyBorder="1" applyFont="1" applyNumberFormat="1">
      <alignment horizontal="right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4" fillId="4" fontId="8" numFmtId="164" xfId="0" applyAlignment="1" applyBorder="1" applyFont="1" applyNumberFormat="1">
      <alignment horizontal="right" shrinkToFit="0" vertical="center" wrapText="0"/>
    </xf>
    <xf borderId="4" fillId="5" fontId="6" numFmtId="168" xfId="0" applyAlignment="1" applyBorder="1" applyFont="1" applyNumberFormat="1">
      <alignment horizontal="right" shrinkToFit="0" vertical="center" wrapText="0"/>
    </xf>
    <xf borderId="4" fillId="6" fontId="6" numFmtId="168" xfId="0" applyAlignment="1" applyBorder="1" applyFont="1" applyNumberFormat="1">
      <alignment horizontal="right" shrinkToFit="0" vertical="center" wrapText="0"/>
    </xf>
    <xf borderId="4" fillId="4" fontId="13" numFmtId="168" xfId="0" applyAlignment="1" applyBorder="1" applyFont="1" applyNumberFormat="1">
      <alignment horizontal="right" shrinkToFit="0" vertical="center" wrapText="0"/>
    </xf>
    <xf borderId="4" fillId="4" fontId="9" numFmtId="166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horizontal="left" shrinkToFit="0" vertical="center" wrapText="0"/>
    </xf>
    <xf borderId="4" fillId="4" fontId="9" numFmtId="2" xfId="0" applyAlignment="1" applyBorder="1" applyFont="1" applyNumberFormat="1">
      <alignment horizontal="right" shrinkToFit="0" vertical="center" wrapText="0"/>
    </xf>
    <xf borderId="0" fillId="0" fontId="6" numFmtId="166" xfId="0" applyAlignment="1" applyFont="1" applyNumberFormat="1">
      <alignment horizontal="right" shrinkToFit="0" vertical="center" wrapText="0"/>
    </xf>
    <xf borderId="4" fillId="4" fontId="9" numFmtId="164" xfId="0" applyAlignment="1" applyBorder="1" applyFont="1" applyNumberFormat="1">
      <alignment horizontal="right" shrinkToFit="0" vertical="center" wrapText="0"/>
    </xf>
    <xf borderId="4" fillId="7" fontId="6" numFmtId="166" xfId="0" applyAlignment="1" applyBorder="1" applyFont="1" applyNumberFormat="1">
      <alignment horizontal="right" shrinkToFit="0" vertical="center" wrapText="0"/>
    </xf>
    <xf borderId="1" fillId="2" fontId="14" numFmtId="166" xfId="0" applyAlignment="1" applyBorder="1" applyFont="1" applyNumberFormat="1">
      <alignment horizontal="center" shrinkToFit="0" vertical="center" wrapText="0"/>
    </xf>
    <xf borderId="4" fillId="3" fontId="4" numFmtId="2" xfId="0" applyAlignment="1" applyBorder="1" applyFont="1" applyNumberFormat="1">
      <alignment horizontal="center" shrinkToFit="0" vertical="center" wrapText="0"/>
    </xf>
    <xf borderId="0" fillId="0" fontId="8" numFmtId="166" xfId="0" applyAlignment="1" applyFont="1" applyNumberFormat="1">
      <alignment horizontal="right" shrinkToFit="0" vertical="center" wrapText="0"/>
    </xf>
    <xf borderId="4" fillId="5" fontId="6" numFmtId="166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11" width="12.0"/>
    <col customWidth="1" min="12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 ht="15.75" customHeight="1">
      <c r="A3" s="8" t="s">
        <v>11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5.0" customHeight="1">
      <c r="A4" s="9" t="s">
        <v>12</v>
      </c>
      <c r="B4" s="10" t="s">
        <v>13</v>
      </c>
      <c r="C4" s="11">
        <v>1881.0</v>
      </c>
      <c r="D4" s="11">
        <v>2701.0</v>
      </c>
      <c r="E4" s="11">
        <v>4068.0</v>
      </c>
      <c r="F4" s="11">
        <v>5383.0</v>
      </c>
      <c r="G4" s="11">
        <v>8601.0</v>
      </c>
      <c r="H4" s="12">
        <f t="shared" ref="H4:K4" si="1">G4*(1+H5)</f>
        <v>10751.25</v>
      </c>
      <c r="I4" s="12">
        <f t="shared" si="1"/>
        <v>13116.525</v>
      </c>
      <c r="J4" s="12">
        <f t="shared" si="1"/>
        <v>15739.83</v>
      </c>
      <c r="K4" s="12">
        <f t="shared" si="1"/>
        <v>18572.9994</v>
      </c>
    </row>
    <row r="5" ht="15.0" customHeight="1">
      <c r="A5" s="13" t="s">
        <v>14</v>
      </c>
      <c r="C5" s="14" t="s">
        <v>15</v>
      </c>
      <c r="D5" s="15">
        <f t="shared" ref="D5:G5" si="2">(D4-C4)/C4</f>
        <v>0.4359383307</v>
      </c>
      <c r="E5" s="15">
        <f t="shared" si="2"/>
        <v>0.5061088486</v>
      </c>
      <c r="F5" s="15">
        <f t="shared" si="2"/>
        <v>0.3232546706</v>
      </c>
      <c r="G5" s="15">
        <f t="shared" si="2"/>
        <v>0.5978079138</v>
      </c>
      <c r="H5" s="16">
        <v>0.25</v>
      </c>
      <c r="I5" s="16">
        <v>0.22</v>
      </c>
      <c r="J5" s="16">
        <v>0.2</v>
      </c>
      <c r="K5" s="16">
        <v>0.18</v>
      </c>
    </row>
    <row r="6" ht="6.0" customHeight="1"/>
    <row r="7" ht="15.0" customHeight="1">
      <c r="A7" s="13" t="s">
        <v>16</v>
      </c>
      <c r="C7" s="17">
        <v>0.65</v>
      </c>
      <c r="D7" s="17">
        <v>0.68</v>
      </c>
      <c r="E7" s="17">
        <v>0.7</v>
      </c>
      <c r="F7" s="17">
        <v>0.75</v>
      </c>
      <c r="G7" s="17">
        <v>0.77</v>
      </c>
      <c r="H7" s="17">
        <v>0.78</v>
      </c>
      <c r="I7" s="17">
        <v>0.78</v>
      </c>
      <c r="J7" s="17">
        <v>0.79</v>
      </c>
      <c r="K7" s="17">
        <v>0.79</v>
      </c>
    </row>
    <row r="8" ht="15.0" customHeight="1">
      <c r="A8" s="9" t="s">
        <v>17</v>
      </c>
      <c r="C8" s="12">
        <f t="shared" ref="C8:K8" si="3">C4*C7</f>
        <v>1222.65</v>
      </c>
      <c r="D8" s="12">
        <f t="shared" si="3"/>
        <v>1836.68</v>
      </c>
      <c r="E8" s="12">
        <f t="shared" si="3"/>
        <v>2847.6</v>
      </c>
      <c r="F8" s="12">
        <f t="shared" si="3"/>
        <v>4037.25</v>
      </c>
      <c r="G8" s="12">
        <f t="shared" si="3"/>
        <v>6622.77</v>
      </c>
      <c r="H8" s="12">
        <f t="shared" si="3"/>
        <v>8385.975</v>
      </c>
      <c r="I8" s="12">
        <f t="shared" si="3"/>
        <v>10230.8895</v>
      </c>
      <c r="J8" s="12">
        <f t="shared" si="3"/>
        <v>12434.4657</v>
      </c>
      <c r="K8" s="12">
        <f t="shared" si="3"/>
        <v>14672.66953</v>
      </c>
    </row>
    <row r="9" ht="15.0" customHeight="1">
      <c r="A9" s="13" t="s">
        <v>18</v>
      </c>
      <c r="C9" s="16">
        <v>0.03</v>
      </c>
      <c r="D9" s="16">
        <v>0.03</v>
      </c>
      <c r="E9" s="16">
        <v>0.03</v>
      </c>
      <c r="F9" s="16">
        <v>0.03</v>
      </c>
      <c r="G9" s="16">
        <v>0.03</v>
      </c>
      <c r="H9" s="16">
        <v>0.03</v>
      </c>
      <c r="I9" s="16">
        <v>0.03</v>
      </c>
      <c r="J9" s="16">
        <v>0.03</v>
      </c>
      <c r="K9" s="16">
        <v>0.03</v>
      </c>
    </row>
    <row r="10" ht="15.0" customHeight="1">
      <c r="A10" s="13" t="s">
        <v>19</v>
      </c>
      <c r="C10" s="18">
        <f t="shared" ref="C10:K10" si="4">C4*C9</f>
        <v>56.43</v>
      </c>
      <c r="D10" s="18">
        <f t="shared" si="4"/>
        <v>81.03</v>
      </c>
      <c r="E10" s="18">
        <f t="shared" si="4"/>
        <v>122.04</v>
      </c>
      <c r="F10" s="18">
        <f t="shared" si="4"/>
        <v>161.49</v>
      </c>
      <c r="G10" s="18">
        <f t="shared" si="4"/>
        <v>258.03</v>
      </c>
      <c r="H10" s="18">
        <f t="shared" si="4"/>
        <v>322.5375</v>
      </c>
      <c r="I10" s="18">
        <f t="shared" si="4"/>
        <v>393.49575</v>
      </c>
      <c r="J10" s="18">
        <f t="shared" si="4"/>
        <v>472.1949</v>
      </c>
      <c r="K10" s="18">
        <f t="shared" si="4"/>
        <v>557.189982</v>
      </c>
    </row>
    <row r="11" ht="15.0" customHeight="1">
      <c r="A11" s="9" t="s">
        <v>20</v>
      </c>
      <c r="C11" s="19">
        <f t="shared" ref="C11:K11" si="5">C8-C10</f>
        <v>1166.22</v>
      </c>
      <c r="D11" s="19">
        <f t="shared" si="5"/>
        <v>1755.65</v>
      </c>
      <c r="E11" s="19">
        <f t="shared" si="5"/>
        <v>2725.56</v>
      </c>
      <c r="F11" s="19">
        <f t="shared" si="5"/>
        <v>3875.76</v>
      </c>
      <c r="G11" s="19">
        <f t="shared" si="5"/>
        <v>6364.74</v>
      </c>
      <c r="H11" s="19">
        <f t="shared" si="5"/>
        <v>8063.4375</v>
      </c>
      <c r="I11" s="19">
        <f t="shared" si="5"/>
        <v>9837.39375</v>
      </c>
      <c r="J11" s="19">
        <f t="shared" si="5"/>
        <v>11962.2708</v>
      </c>
      <c r="K11" s="19">
        <f t="shared" si="5"/>
        <v>14115.47954</v>
      </c>
    </row>
    <row r="12" ht="15.0" customHeight="1">
      <c r="A12" s="13" t="s">
        <v>21</v>
      </c>
      <c r="C12" s="20">
        <v>0.175</v>
      </c>
      <c r="D12" s="21">
        <v>0.18</v>
      </c>
      <c r="E12" s="21">
        <v>0.18</v>
      </c>
      <c r="F12" s="21">
        <v>0.18</v>
      </c>
      <c r="G12" s="21">
        <v>0.18</v>
      </c>
      <c r="H12" s="21">
        <v>0.18</v>
      </c>
      <c r="I12" s="21">
        <v>0.18</v>
      </c>
      <c r="J12" s="21">
        <v>0.18</v>
      </c>
      <c r="K12" s="21">
        <v>0.18</v>
      </c>
    </row>
    <row r="13" ht="15.0" customHeight="1">
      <c r="A13" s="13" t="s">
        <v>22</v>
      </c>
      <c r="C13" s="18">
        <f t="shared" ref="C13:K13" si="6">C11*C12</f>
        <v>204.0885</v>
      </c>
      <c r="D13" s="18">
        <f t="shared" si="6"/>
        <v>316.017</v>
      </c>
      <c r="E13" s="18">
        <f t="shared" si="6"/>
        <v>490.6008</v>
      </c>
      <c r="F13" s="18">
        <f t="shared" si="6"/>
        <v>697.6368</v>
      </c>
      <c r="G13" s="18">
        <f t="shared" si="6"/>
        <v>1145.6532</v>
      </c>
      <c r="H13" s="18">
        <f t="shared" si="6"/>
        <v>1451.41875</v>
      </c>
      <c r="I13" s="18">
        <f t="shared" si="6"/>
        <v>1770.730875</v>
      </c>
      <c r="J13" s="18">
        <f t="shared" si="6"/>
        <v>2153.208744</v>
      </c>
      <c r="K13" s="18">
        <f t="shared" si="6"/>
        <v>2540.786318</v>
      </c>
    </row>
    <row r="14" ht="15.0" customHeight="1">
      <c r="A14" s="9" t="s">
        <v>23</v>
      </c>
      <c r="C14" s="19">
        <f t="shared" ref="C14:K14" si="7">C11*(1-C12)</f>
        <v>962.1315</v>
      </c>
      <c r="D14" s="19">
        <f t="shared" si="7"/>
        <v>1439.633</v>
      </c>
      <c r="E14" s="19">
        <f t="shared" si="7"/>
        <v>2234.9592</v>
      </c>
      <c r="F14" s="19">
        <f t="shared" si="7"/>
        <v>3178.1232</v>
      </c>
      <c r="G14" s="19">
        <f t="shared" si="7"/>
        <v>5219.0868</v>
      </c>
      <c r="H14" s="19">
        <f t="shared" si="7"/>
        <v>6612.01875</v>
      </c>
      <c r="I14" s="19">
        <f t="shared" si="7"/>
        <v>8066.662875</v>
      </c>
      <c r="J14" s="19">
        <f t="shared" si="7"/>
        <v>9809.062056</v>
      </c>
      <c r="K14" s="19">
        <f t="shared" si="7"/>
        <v>11574.69323</v>
      </c>
    </row>
    <row r="15" ht="6.0" customHeight="1"/>
    <row r="16" ht="15.75" customHeight="1">
      <c r="A16" s="8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7" ht="15.0" customHeight="1">
      <c r="A17" s="13" t="s">
        <v>25</v>
      </c>
      <c r="C17" s="16">
        <v>0.04</v>
      </c>
      <c r="D17" s="16">
        <v>0.04</v>
      </c>
      <c r="E17" s="16">
        <v>0.04</v>
      </c>
      <c r="F17" s="16">
        <v>0.04</v>
      </c>
      <c r="G17" s="16">
        <v>0.04</v>
      </c>
      <c r="H17" s="16">
        <v>0.05</v>
      </c>
      <c r="I17" s="16">
        <v>0.05</v>
      </c>
      <c r="J17" s="16">
        <v>0.05</v>
      </c>
      <c r="K17" s="16">
        <v>0.05</v>
      </c>
    </row>
    <row r="18" ht="15.0" customHeight="1">
      <c r="A18" s="13" t="s">
        <v>26</v>
      </c>
      <c r="C18" s="18">
        <f t="shared" ref="C18:K18" si="8">-C4*C17</f>
        <v>-75.24</v>
      </c>
      <c r="D18" s="18">
        <f t="shared" si="8"/>
        <v>-108.04</v>
      </c>
      <c r="E18" s="18">
        <f t="shared" si="8"/>
        <v>-162.72</v>
      </c>
      <c r="F18" s="18">
        <f t="shared" si="8"/>
        <v>-215.32</v>
      </c>
      <c r="G18" s="18">
        <f t="shared" si="8"/>
        <v>-344.04</v>
      </c>
      <c r="H18" s="18">
        <f t="shared" si="8"/>
        <v>-537.5625</v>
      </c>
      <c r="I18" s="18">
        <f t="shared" si="8"/>
        <v>-655.82625</v>
      </c>
      <c r="J18" s="18">
        <f t="shared" si="8"/>
        <v>-786.9915</v>
      </c>
      <c r="K18" s="18">
        <f t="shared" si="8"/>
        <v>-928.64997</v>
      </c>
    </row>
    <row r="19" ht="15.0" customHeight="1">
      <c r="A19" s="13" t="s">
        <v>27</v>
      </c>
      <c r="C19" s="14" t="s">
        <v>15</v>
      </c>
      <c r="D19" s="18">
        <f t="shared" ref="D19:K19" si="9">-(D4-C4)*0.01</f>
        <v>-8.2</v>
      </c>
      <c r="E19" s="18">
        <f t="shared" si="9"/>
        <v>-13.67</v>
      </c>
      <c r="F19" s="18">
        <f t="shared" si="9"/>
        <v>-13.15</v>
      </c>
      <c r="G19" s="18">
        <f t="shared" si="9"/>
        <v>-32.18</v>
      </c>
      <c r="H19" s="18">
        <f t="shared" si="9"/>
        <v>-21.5025</v>
      </c>
      <c r="I19" s="18">
        <f t="shared" si="9"/>
        <v>-23.65275</v>
      </c>
      <c r="J19" s="18">
        <f t="shared" si="9"/>
        <v>-26.23305</v>
      </c>
      <c r="K19" s="18">
        <f t="shared" si="9"/>
        <v>-28.331694</v>
      </c>
    </row>
    <row r="20" ht="15.0" customHeight="1">
      <c r="A20" s="9" t="s">
        <v>28</v>
      </c>
      <c r="C20" s="14" t="s">
        <v>15</v>
      </c>
      <c r="D20" s="22">
        <f t="shared" ref="D20:K20" si="10">D14+D10+D18+D19</f>
        <v>1404.423</v>
      </c>
      <c r="E20" s="22">
        <f t="shared" si="10"/>
        <v>2180.6092</v>
      </c>
      <c r="F20" s="22">
        <f t="shared" si="10"/>
        <v>3111.1432</v>
      </c>
      <c r="G20" s="22">
        <f t="shared" si="10"/>
        <v>5100.8968</v>
      </c>
      <c r="H20" s="22">
        <f t="shared" si="10"/>
        <v>6375.49125</v>
      </c>
      <c r="I20" s="22">
        <f t="shared" si="10"/>
        <v>7780.679625</v>
      </c>
      <c r="J20" s="22">
        <f t="shared" si="10"/>
        <v>9468.032406</v>
      </c>
      <c r="K20" s="22">
        <f t="shared" si="10"/>
        <v>11174.90154</v>
      </c>
    </row>
    <row r="21" ht="6.0" customHeight="1"/>
    <row r="22" ht="15.75" customHeight="1">
      <c r="A22" s="8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3"/>
    </row>
    <row r="23" ht="15.0" customHeight="1">
      <c r="A23" s="13" t="s">
        <v>30</v>
      </c>
      <c r="C23" s="23">
        <f>WACC!B20</f>
        <v>0.1312991994</v>
      </c>
    </row>
    <row r="24" ht="15.0" customHeight="1">
      <c r="A24" s="13" t="s">
        <v>31</v>
      </c>
      <c r="H24" s="24">
        <v>1.0</v>
      </c>
      <c r="I24" s="24">
        <v>2.0</v>
      </c>
      <c r="J24" s="24">
        <v>3.0</v>
      </c>
      <c r="K24" s="24">
        <v>4.0</v>
      </c>
    </row>
    <row r="25" ht="15.0" customHeight="1">
      <c r="A25" s="13" t="s">
        <v>32</v>
      </c>
      <c r="H25" s="25">
        <f>1/(1+$C$23)^(1-0.5)</f>
        <v>0.9401805449</v>
      </c>
      <c r="I25" s="25">
        <f>1/(1+$C$23)^(2-0.5)</f>
        <v>0.8310626803</v>
      </c>
      <c r="J25" s="25">
        <f>1/(1+$C$23)^(3-0.5)</f>
        <v>0.7346090943</v>
      </c>
      <c r="K25" s="25">
        <f>1/(1+$C$23)^(4-0.5)</f>
        <v>0.6493499639</v>
      </c>
    </row>
    <row r="26" ht="15.0" customHeight="1">
      <c r="A26" s="13" t="s">
        <v>33</v>
      </c>
      <c r="H26" s="18">
        <f t="shared" ref="H26:K26" si="11">H20*H25</f>
        <v>5994.112837</v>
      </c>
      <c r="I26" s="18">
        <f t="shared" si="11"/>
        <v>6466.232464</v>
      </c>
      <c r="J26" s="18">
        <f t="shared" si="11"/>
        <v>6955.302711</v>
      </c>
      <c r="K26" s="18">
        <f t="shared" si="11"/>
        <v>7256.421914</v>
      </c>
    </row>
    <row r="27" ht="15.0" customHeight="1">
      <c r="A27" s="9" t="s">
        <v>34</v>
      </c>
      <c r="C27" s="26">
        <f>SUM(H26:K26)</f>
        <v>26672.06993</v>
      </c>
      <c r="D27" s="2"/>
      <c r="E27" s="2"/>
      <c r="F27" s="2"/>
      <c r="G27" s="2"/>
      <c r="H27" s="2"/>
      <c r="I27" s="2"/>
      <c r="J27" s="2"/>
      <c r="K27" s="3"/>
    </row>
    <row r="28" ht="6.0" customHeight="1"/>
    <row r="29" ht="15.75" customHeight="1">
      <c r="A29" s="8" t="s">
        <v>35</v>
      </c>
      <c r="B29" s="2"/>
      <c r="C29" s="2"/>
      <c r="D29" s="2"/>
      <c r="E29" s="2"/>
      <c r="F29" s="2"/>
      <c r="G29" s="2"/>
      <c r="H29" s="2"/>
      <c r="I29" s="2"/>
      <c r="J29" s="2"/>
      <c r="K29" s="3"/>
    </row>
    <row r="30" ht="15.0" customHeight="1">
      <c r="A30" s="13" t="s">
        <v>36</v>
      </c>
      <c r="B30" s="10" t="s">
        <v>37</v>
      </c>
      <c r="C30" s="27">
        <v>0.03</v>
      </c>
      <c r="D30" s="2"/>
      <c r="E30" s="2"/>
      <c r="F30" s="2"/>
      <c r="G30" s="2"/>
      <c r="H30" s="2"/>
      <c r="I30" s="2"/>
      <c r="J30" s="2"/>
      <c r="K30" s="3"/>
    </row>
    <row r="31" ht="15.0" customHeight="1">
      <c r="A31" s="13" t="s">
        <v>38</v>
      </c>
      <c r="C31" s="18">
        <f>K20*(1+C30)</f>
        <v>11510.14859</v>
      </c>
    </row>
    <row r="32" ht="15.0" customHeight="1">
      <c r="A32" s="13" t="s">
        <v>39</v>
      </c>
      <c r="C32" s="18">
        <f>C31/($C$23-C30)</f>
        <v>113625.2671</v>
      </c>
    </row>
    <row r="33" ht="15.0" customHeight="1">
      <c r="A33" s="9" t="s">
        <v>40</v>
      </c>
      <c r="C33" s="28">
        <f>C32/(1+$C$23)^4</f>
        <v>69368.93036</v>
      </c>
      <c r="D33" s="2"/>
      <c r="E33" s="2"/>
      <c r="F33" s="2"/>
      <c r="G33" s="2"/>
      <c r="H33" s="2"/>
      <c r="I33" s="2"/>
      <c r="J33" s="2"/>
      <c r="K33" s="3"/>
    </row>
    <row r="34" ht="6.0" customHeight="1"/>
    <row r="35" ht="15.75" customHeight="1">
      <c r="A35" s="8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3"/>
    </row>
    <row r="36" ht="15.0" customHeight="1">
      <c r="A36" s="9" t="s">
        <v>42</v>
      </c>
      <c r="C36" s="26">
        <f>C27+C33</f>
        <v>96041.00028</v>
      </c>
      <c r="D36" s="2"/>
      <c r="E36" s="2"/>
      <c r="F36" s="2"/>
      <c r="G36" s="2"/>
      <c r="H36" s="2"/>
      <c r="I36" s="2"/>
      <c r="J36" s="2"/>
      <c r="K36" s="3"/>
    </row>
    <row r="37" ht="15.0" customHeight="1">
      <c r="A37" s="13" t="s">
        <v>43</v>
      </c>
      <c r="B37" s="10" t="s">
        <v>44</v>
      </c>
      <c r="C37" s="29">
        <v>1980.0</v>
      </c>
      <c r="D37" s="2"/>
      <c r="E37" s="2"/>
      <c r="F37" s="2"/>
      <c r="G37" s="2"/>
      <c r="H37" s="2"/>
      <c r="I37" s="2"/>
      <c r="J37" s="2"/>
      <c r="K37" s="3"/>
    </row>
    <row r="38" ht="15.0" customHeight="1">
      <c r="A38" s="13" t="s">
        <v>45</v>
      </c>
      <c r="B38" s="10" t="s">
        <v>44</v>
      </c>
      <c r="C38" s="29">
        <v>18028.0</v>
      </c>
      <c r="D38" s="2"/>
      <c r="E38" s="2"/>
      <c r="F38" s="2"/>
      <c r="G38" s="2"/>
      <c r="H38" s="2"/>
      <c r="I38" s="2"/>
      <c r="J38" s="2"/>
      <c r="K38" s="3"/>
    </row>
    <row r="39" ht="15.0" customHeight="1">
      <c r="A39" s="13" t="s">
        <v>46</v>
      </c>
      <c r="C39" s="30">
        <v>0.0</v>
      </c>
      <c r="D39" s="2"/>
      <c r="E39" s="2"/>
      <c r="F39" s="2"/>
      <c r="G39" s="2"/>
      <c r="H39" s="2"/>
      <c r="I39" s="2"/>
      <c r="J39" s="2"/>
      <c r="K39" s="3"/>
    </row>
    <row r="40" ht="15.0" customHeight="1">
      <c r="A40" s="9" t="s">
        <v>47</v>
      </c>
      <c r="C40" s="26">
        <f>C36+C37-C38-C39</f>
        <v>79993.00028</v>
      </c>
      <c r="D40" s="2"/>
      <c r="E40" s="2"/>
      <c r="F40" s="2"/>
      <c r="G40" s="2"/>
      <c r="H40" s="2"/>
      <c r="I40" s="2"/>
      <c r="J40" s="2"/>
      <c r="K40" s="3"/>
    </row>
    <row r="41" ht="15.0" customHeight="1">
      <c r="A41" s="13" t="s">
        <v>48</v>
      </c>
      <c r="B41" s="10" t="s">
        <v>49</v>
      </c>
      <c r="C41" s="30">
        <v>190.2</v>
      </c>
      <c r="D41" s="2"/>
      <c r="E41" s="2"/>
      <c r="F41" s="2"/>
      <c r="G41" s="2"/>
      <c r="H41" s="2"/>
      <c r="I41" s="2"/>
      <c r="J41" s="2"/>
      <c r="K41" s="3"/>
    </row>
    <row r="42" ht="15.0" customHeight="1">
      <c r="A42" s="9" t="s">
        <v>50</v>
      </c>
      <c r="C42" s="31">
        <f>C40/C41</f>
        <v>420.5730825</v>
      </c>
      <c r="D42" s="2"/>
      <c r="E42" s="2"/>
      <c r="F42" s="2"/>
      <c r="G42" s="2"/>
      <c r="H42" s="2"/>
      <c r="I42" s="2"/>
      <c r="J42" s="2"/>
      <c r="K42" s="3"/>
    </row>
    <row r="43" ht="15.0" customHeight="1">
      <c r="A43" s="13" t="s">
        <v>51</v>
      </c>
      <c r="B43" s="10" t="s">
        <v>52</v>
      </c>
      <c r="C43" s="32">
        <v>86.26</v>
      </c>
      <c r="D43" s="2"/>
      <c r="E43" s="2"/>
      <c r="F43" s="2"/>
      <c r="G43" s="2"/>
      <c r="H43" s="2"/>
      <c r="I43" s="2"/>
      <c r="J43" s="2"/>
      <c r="K43" s="3"/>
    </row>
    <row r="44" ht="15.0" customHeight="1">
      <c r="A44" s="9" t="s">
        <v>53</v>
      </c>
      <c r="C44" s="33">
        <f>(C42-C43)/C43</f>
        <v>3.87564436</v>
      </c>
    </row>
    <row r="45" ht="6.0" customHeight="1"/>
    <row r="46" ht="15.75" customHeight="1">
      <c r="A46" s="8" t="s">
        <v>54</v>
      </c>
      <c r="B46" s="2"/>
      <c r="C46" s="2"/>
      <c r="D46" s="2"/>
      <c r="E46" s="2"/>
      <c r="F46" s="2"/>
      <c r="G46" s="2"/>
      <c r="H46" s="2"/>
      <c r="I46" s="2"/>
      <c r="J46" s="2"/>
      <c r="K46" s="3"/>
    </row>
    <row r="47" ht="15.75" customHeight="1">
      <c r="A47" s="5" t="s">
        <v>55</v>
      </c>
      <c r="B47" s="34">
        <v>0.02</v>
      </c>
      <c r="C47" s="34">
        <v>0.025</v>
      </c>
      <c r="D47" s="34">
        <v>0.03</v>
      </c>
      <c r="E47" s="34">
        <v>0.035</v>
      </c>
      <c r="F47" s="34">
        <v>0.04</v>
      </c>
      <c r="G47" s="4"/>
      <c r="H47" s="4"/>
      <c r="I47" s="4"/>
      <c r="J47" s="4"/>
      <c r="K47" s="4"/>
    </row>
    <row r="48" ht="15.0" customHeight="1">
      <c r="A48" s="34">
        <v>0.08</v>
      </c>
      <c r="B48" s="35">
        <f>($C$27*($C$23/0.08)+K20*(1+0.02)/MAX((0.08-0.02),0.001)/(1+0.08)^4+C37-C38-C39)/C41</f>
        <v>879.9334063</v>
      </c>
      <c r="C48" s="35">
        <f>($C$27*($C$23/0.08)+K20*(1+0.025)/MAX((0.08-0.025),0.001)/(1+0.08)^4+C37-C38-C39)/C41</f>
        <v>950.6006237</v>
      </c>
      <c r="D48" s="35">
        <f>($C$27*($C$23/0.08)+K20*(1+0.03)/MAX((0.08-0.03),0.001)/(1+0.08)^4+C37-C38-C39)/C41</f>
        <v>1035.401285</v>
      </c>
      <c r="E48" s="35">
        <f>($C$27*($C$23/0.08)+K20*(1+0.035)/MAX((0.08-0.035),0.001)/(1+0.08)^4+C37-C38-C39)/C41</f>
        <v>1139.046537</v>
      </c>
      <c r="F48" s="35">
        <f>($C$27*($C$23/0.08)+K20*(1+0.04)/MAX((0.08-0.04),0.001)/(1+0.08)^4+C37-C38-C39)/C41</f>
        <v>1268.603102</v>
      </c>
      <c r="G48" s="36"/>
      <c r="H48" s="36"/>
      <c r="I48" s="36"/>
      <c r="J48" s="36"/>
      <c r="K48" s="36"/>
    </row>
    <row r="49" ht="15.0" customHeight="1">
      <c r="A49" s="34">
        <v>0.09</v>
      </c>
      <c r="B49" s="35">
        <f>($C$27*($C$23/0.09)+K20*(1+0.02)/MAX((0.09-0.02),0.001)/(1+0.09)^4+C37-C38-C39)/C41</f>
        <v>726.7048272</v>
      </c>
      <c r="C49" s="35">
        <f>($C$27*($C$23/0.09)+K20*(1+0.025)/MAX((0.09-0.025),0.001)/(1+0.09)^4+C37-C38-C39)/C41</f>
        <v>776.5602388</v>
      </c>
      <c r="D49" s="35">
        <f>($C$27*($C$23/0.09)+K20*(1+0.03)/MAX((0.09-0.03),0.001)/(1+0.09)^4+C37-C38-C39)/C41</f>
        <v>834.7248858</v>
      </c>
      <c r="E49" s="35">
        <f>($C$27*($C$23/0.09)+K20*(1+0.035)/MAX((0.09-0.035),0.001)/(1+0.09)^4+C37-C38-C39)/C41</f>
        <v>903.4649231</v>
      </c>
      <c r="F49" s="35">
        <f>($C$27*($C$23/0.09)+K20*(1+0.04)/MAX((0.09-0.04),0.001)/(1+0.09)^4+C37-C38-C39)/C41</f>
        <v>985.9529679</v>
      </c>
      <c r="G49" s="36"/>
      <c r="H49" s="36"/>
      <c r="I49" s="36"/>
      <c r="J49" s="36"/>
      <c r="K49" s="36"/>
    </row>
    <row r="50" ht="15.0" customHeight="1">
      <c r="A50" s="34">
        <v>0.1</v>
      </c>
      <c r="B50" s="35">
        <f>($C$27*($C$23/0.1)+K20*(1+0.02)/MAX((0.1-0.02),0.001)/(1+0.1)^4+C37-C38-C39)/C41</f>
        <v>611.3983584</v>
      </c>
      <c r="C50" s="35">
        <f>($C$27*($C$23/0.1)+K20*(1+0.025)/MAX((0.1-0.025),0.001)/(1+0.1)^4+C37-C38-C39)/C41</f>
        <v>648.1836236</v>
      </c>
      <c r="D50" s="37">
        <f>($C$27*($C$23/0.1)+K20*(1+0.03)/MAX((0.1-0.03),0.001)/(1+0.1)^4+C37-C38-C39)/C41</f>
        <v>690.2239267</v>
      </c>
      <c r="E50" s="35">
        <f>($C$27*($C$23/0.1)+K20*(1+0.035)/MAX((0.1-0.035),0.001)/(1+0.1)^4+C37-C38-C39)/C41</f>
        <v>738.7319687</v>
      </c>
      <c r="F50" s="35">
        <f>($C$27*($C$23/0.1)+K20*(1+0.04)/MAX((0.1-0.04),0.001)/(1+0.1)^4+C37-C38-C39)/C41</f>
        <v>795.3246844</v>
      </c>
      <c r="G50" s="36"/>
      <c r="H50" s="36"/>
      <c r="I50" s="36"/>
      <c r="J50" s="36"/>
      <c r="K50" s="36"/>
    </row>
    <row r="51" ht="15.0" customHeight="1">
      <c r="A51" s="34">
        <v>0.11</v>
      </c>
      <c r="B51" s="35">
        <f>($C$27*($C$23/0.11)+K20*(1+0.02)/MAX((0.11-0.02),0.001)/(1+0.11)^4+C37-C38-C39)/C41</f>
        <v>521.640911</v>
      </c>
      <c r="C51" s="35">
        <f>($C$27*($C$23/0.11)+K20*(1+0.025)/MAX((0.11-0.025),0.001)/(1+0.11)^4+C37-C38-C39)/C41</f>
        <v>549.7193414</v>
      </c>
      <c r="D51" s="35">
        <f>($C$27*($C$23/0.11)+K20*(1+0.03)/MAX((0.11-0.03),0.001)/(1+0.11)^4+C37-C38-C39)/C41</f>
        <v>581.3075755</v>
      </c>
      <c r="E51" s="35">
        <f>($C$27*($C$23/0.11)+K20*(1+0.035)/MAX((0.11-0.035),0.001)/(1+0.11)^4+C37-C38-C39)/C41</f>
        <v>617.1075742</v>
      </c>
      <c r="F51" s="35">
        <f>($C$27*($C$23/0.11)+K20*(1+0.04)/MAX((0.11-0.04),0.001)/(1+0.11)^4+C37-C38-C39)/C41</f>
        <v>658.0218583</v>
      </c>
      <c r="G51" s="36"/>
      <c r="H51" s="36"/>
      <c r="I51" s="36"/>
      <c r="J51" s="36"/>
      <c r="K51" s="36"/>
    </row>
    <row r="52" ht="15.0" customHeight="1">
      <c r="A52" s="34">
        <v>0.12</v>
      </c>
      <c r="B52" s="35">
        <f>($C$27*($C$23/0.12)+K20*(1+0.02)/MAX((0.12-0.02),0.001)/(1+0.12)^4+C37-C38-C39)/C41</f>
        <v>449.9179908</v>
      </c>
      <c r="C52" s="35">
        <f>($C$27*($C$23/0.12)+K20*(1+0.025)/MAX((0.12-0.025),0.001)/(1+0.12)^4+C37-C38-C39)/C41</f>
        <v>471.9282686</v>
      </c>
      <c r="D52" s="35">
        <f>($C$27*($C$23/0.12)+K20*(1+0.03)/MAX((0.12-0.03),0.001)/(1+0.12)^4+C37-C38-C39)/C41</f>
        <v>496.3841328</v>
      </c>
      <c r="E52" s="35">
        <f>($C$27*($C$23/0.12)+K20*(1+0.035)/MAX((0.12-0.035),0.001)/(1+0.12)^4+C37-C38-C39)/C41</f>
        <v>523.7171575</v>
      </c>
      <c r="F52" s="35">
        <f>($C$27*($C$23/0.12)+K20*(1+0.04)/MAX((0.12-0.04),0.001)/(1+0.12)^4+C37-C38-C39)/C41</f>
        <v>554.4668103</v>
      </c>
      <c r="G52" s="36"/>
      <c r="H52" s="36"/>
      <c r="I52" s="36"/>
      <c r="J52" s="36"/>
      <c r="K52" s="36"/>
    </row>
    <row r="53" ht="15.0" customHeight="1">
      <c r="A53" s="34">
        <v>0.13</v>
      </c>
      <c r="B53" s="35">
        <f>($C$27*($C$23/0.13)+K20*(1+0.02)/MAX((0.13-0.02),0.001)/(1+0.13)^4+C37-C38-C39)/C41</f>
        <v>391.3976114</v>
      </c>
      <c r="C53" s="35">
        <f>($C$27*($C$23/0.13)+K20*(1+0.025)/MAX((0.13-0.025),0.001)/(1+0.13)^4+C37-C38-C39)/C41</f>
        <v>409.0249149</v>
      </c>
      <c r="D53" s="35">
        <f>($C$27*($C$23/0.13)+K20*(1+0.03)/MAX((0.13-0.03),0.001)/(1+0.13)^4+C37-C38-C39)/C41</f>
        <v>428.4149488</v>
      </c>
      <c r="E53" s="35">
        <f>($C$27*($C$23/0.13)+K20*(1+0.035)/MAX((0.13-0.035),0.001)/(1+0.13)^4+C37-C38-C39)/C41</f>
        <v>449.8460389</v>
      </c>
      <c r="F53" s="35">
        <f>($C$27*($C$23/0.13)+K20*(1+0.04)/MAX((0.13-0.04),0.001)/(1+0.13)^4+C37-C38-C39)/C41</f>
        <v>473.6583612</v>
      </c>
      <c r="G53" s="36"/>
      <c r="H53" s="36"/>
      <c r="I53" s="36"/>
      <c r="J53" s="36"/>
      <c r="K53" s="36"/>
    </row>
    <row r="54" ht="15.0" customHeight="1">
      <c r="A54" s="34">
        <v>0.14</v>
      </c>
      <c r="B54" s="35">
        <f>($C$27*($C$23/0.14)+K20*(1+0.02)/MAX((0.14-0.02),0.001)/(1+0.14)^4+C37-C38-C39)/C41</f>
        <v>342.829488</v>
      </c>
      <c r="C54" s="35">
        <f>($C$27*($C$23/0.14)+K20*(1+0.025)/MAX((0.14-0.025),0.001)/(1+0.14)^4+C37-C38-C39)/C41</f>
        <v>357.197926</v>
      </c>
      <c r="D54" s="35">
        <f>($C$27*($C$23/0.14)+K20*(1+0.03)/MAX((0.14-0.03),0.001)/(1+0.14)^4+C37-C38-C39)/C41</f>
        <v>372.8725856</v>
      </c>
      <c r="E54" s="35">
        <f>($C$27*($C$23/0.14)+K20*(1+0.035)/MAX((0.14-0.035),0.001)/(1+0.14)^4+C37-C38-C39)/C41</f>
        <v>390.0400699</v>
      </c>
      <c r="F54" s="35">
        <f>($C$27*($C$23/0.14)+K20*(1+0.04)/MAX((0.14-0.04),0.001)/(1+0.14)^4+C37-C38-C39)/C41</f>
        <v>408.9243026</v>
      </c>
      <c r="G54" s="36"/>
      <c r="H54" s="36"/>
      <c r="I54" s="36"/>
      <c r="J54" s="36"/>
      <c r="K54" s="3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K1"/>
    <mergeCell ref="A3:K3"/>
    <mergeCell ref="A16:K16"/>
    <mergeCell ref="A22:K22"/>
    <mergeCell ref="C23:K23"/>
    <mergeCell ref="C27:K27"/>
    <mergeCell ref="A29:K29"/>
    <mergeCell ref="C38:K38"/>
    <mergeCell ref="C39:K39"/>
    <mergeCell ref="C40:K40"/>
    <mergeCell ref="C41:K41"/>
    <mergeCell ref="C42:K42"/>
    <mergeCell ref="C43:K43"/>
    <mergeCell ref="C44:K44"/>
    <mergeCell ref="A46:K46"/>
    <mergeCell ref="C30:K30"/>
    <mergeCell ref="C31:K31"/>
    <mergeCell ref="C32:K32"/>
    <mergeCell ref="C33:K33"/>
    <mergeCell ref="A35:K35"/>
    <mergeCell ref="C36:K36"/>
    <mergeCell ref="C37:K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9.0"/>
    <col customWidth="1" min="3" max="4" width="13.0"/>
    <col customWidth="1" min="5" max="5" width="11.0"/>
    <col customWidth="1" min="6" max="8" width="13.0"/>
    <col customWidth="1" min="9" max="10" width="11.0"/>
    <col customWidth="1" min="11" max="26" width="8.71"/>
  </cols>
  <sheetData>
    <row r="1" ht="25.5" customHeight="1">
      <c r="A1" s="1" t="s">
        <v>56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7" t="s">
        <v>57</v>
      </c>
      <c r="B2" s="7" t="s">
        <v>58</v>
      </c>
      <c r="C2" s="7" t="s">
        <v>59</v>
      </c>
      <c r="D2" s="7" t="s">
        <v>60</v>
      </c>
      <c r="E2" s="7" t="s">
        <v>61</v>
      </c>
      <c r="F2" s="7" t="s">
        <v>62</v>
      </c>
      <c r="G2" s="7" t="s">
        <v>63</v>
      </c>
      <c r="H2" s="7" t="s">
        <v>64</v>
      </c>
      <c r="I2" s="7" t="s">
        <v>65</v>
      </c>
      <c r="J2" s="7" t="s">
        <v>66</v>
      </c>
    </row>
    <row r="3" ht="15.0" customHeight="1">
      <c r="A3" s="13" t="s">
        <v>67</v>
      </c>
      <c r="B3" s="13" t="s">
        <v>68</v>
      </c>
      <c r="C3" s="18">
        <v>20429.0</v>
      </c>
      <c r="D3" s="18">
        <v>3266.0</v>
      </c>
      <c r="E3" s="15">
        <f t="shared" ref="E3:E10" si="1">D3/C3</f>
        <v>0.1598707719</v>
      </c>
      <c r="F3" s="18">
        <v>118000.0</v>
      </c>
      <c r="G3" s="18">
        <v>-2800.0</v>
      </c>
      <c r="H3" s="18">
        <f t="shared" ref="H3:H10" si="2">F3+G3</f>
        <v>115200</v>
      </c>
      <c r="I3" s="38">
        <f t="shared" ref="I3:I10" si="3">H3/C3</f>
        <v>5.639042538</v>
      </c>
      <c r="J3" s="38">
        <f t="shared" ref="J3:J10" si="4">H3/D3</f>
        <v>35.27250459</v>
      </c>
    </row>
    <row r="4" ht="15.0" customHeight="1">
      <c r="A4" s="39" t="s">
        <v>69</v>
      </c>
      <c r="B4" s="39" t="s">
        <v>70</v>
      </c>
      <c r="C4" s="40">
        <v>16326.0</v>
      </c>
      <c r="D4" s="40">
        <v>3265.0</v>
      </c>
      <c r="E4" s="41">
        <f t="shared" si="1"/>
        <v>0.1999877496</v>
      </c>
      <c r="F4" s="40">
        <v>72000.0</v>
      </c>
      <c r="G4" s="40">
        <v>1200.0</v>
      </c>
      <c r="H4" s="40">
        <f t="shared" si="2"/>
        <v>73200</v>
      </c>
      <c r="I4" s="42">
        <f t="shared" si="3"/>
        <v>4.483645718</v>
      </c>
      <c r="J4" s="42">
        <f t="shared" si="4"/>
        <v>22.41960184</v>
      </c>
    </row>
    <row r="5" ht="15.0" customHeight="1">
      <c r="A5" s="13" t="s">
        <v>71</v>
      </c>
      <c r="B5" s="13" t="s">
        <v>72</v>
      </c>
      <c r="C5" s="18">
        <v>2000.0</v>
      </c>
      <c r="D5" s="18">
        <v>1060.0</v>
      </c>
      <c r="E5" s="15">
        <f t="shared" si="1"/>
        <v>0.53</v>
      </c>
      <c r="F5" s="18">
        <v>52000.0</v>
      </c>
      <c r="G5" s="18">
        <v>-1500.0</v>
      </c>
      <c r="H5" s="18">
        <f t="shared" si="2"/>
        <v>50500</v>
      </c>
      <c r="I5" s="38">
        <f t="shared" si="3"/>
        <v>25.25</v>
      </c>
      <c r="J5" s="38">
        <f t="shared" si="4"/>
        <v>47.64150943</v>
      </c>
    </row>
    <row r="6" ht="15.0" customHeight="1">
      <c r="A6" s="39" t="s">
        <v>73</v>
      </c>
      <c r="B6" s="39" t="s">
        <v>74</v>
      </c>
      <c r="C6" s="40">
        <v>3100.0</v>
      </c>
      <c r="D6" s="40">
        <v>890.0</v>
      </c>
      <c r="E6" s="41">
        <f t="shared" si="1"/>
        <v>0.2870967742</v>
      </c>
      <c r="F6" s="40">
        <v>5800.0</v>
      </c>
      <c r="G6" s="40">
        <v>900.0</v>
      </c>
      <c r="H6" s="40">
        <f t="shared" si="2"/>
        <v>6700</v>
      </c>
      <c r="I6" s="42">
        <f t="shared" si="3"/>
        <v>2.161290323</v>
      </c>
      <c r="J6" s="42">
        <f t="shared" si="4"/>
        <v>7.528089888</v>
      </c>
    </row>
    <row r="7" ht="15.0" customHeight="1">
      <c r="A7" s="13" t="s">
        <v>75</v>
      </c>
      <c r="B7" s="13" t="s">
        <v>76</v>
      </c>
      <c r="C7" s="18">
        <v>2400.0</v>
      </c>
      <c r="D7" s="18">
        <v>720.0</v>
      </c>
      <c r="E7" s="15">
        <f t="shared" si="1"/>
        <v>0.3</v>
      </c>
      <c r="F7" s="18">
        <v>4200.0</v>
      </c>
      <c r="G7" s="18">
        <v>600.0</v>
      </c>
      <c r="H7" s="18">
        <f t="shared" si="2"/>
        <v>4800</v>
      </c>
      <c r="I7" s="38">
        <f t="shared" si="3"/>
        <v>2</v>
      </c>
      <c r="J7" s="38">
        <f t="shared" si="4"/>
        <v>6.666666667</v>
      </c>
    </row>
    <row r="8" ht="15.0" customHeight="1">
      <c r="A8" s="39" t="s">
        <v>77</v>
      </c>
      <c r="B8" s="39" t="s">
        <v>78</v>
      </c>
      <c r="C8" s="40">
        <v>2800.0</v>
      </c>
      <c r="D8" s="40">
        <v>980.0</v>
      </c>
      <c r="E8" s="41">
        <f t="shared" si="1"/>
        <v>0.35</v>
      </c>
      <c r="F8" s="40">
        <v>12000.0</v>
      </c>
      <c r="G8" s="40">
        <v>800.0</v>
      </c>
      <c r="H8" s="40">
        <f t="shared" si="2"/>
        <v>12800</v>
      </c>
      <c r="I8" s="42">
        <f t="shared" si="3"/>
        <v>4.571428571</v>
      </c>
      <c r="J8" s="42">
        <f t="shared" si="4"/>
        <v>13.06122449</v>
      </c>
    </row>
    <row r="9" ht="15.0" customHeight="1">
      <c r="A9" s="13" t="s">
        <v>79</v>
      </c>
      <c r="B9" s="13" t="s">
        <v>80</v>
      </c>
      <c r="C9" s="18">
        <v>420.0</v>
      </c>
      <c r="D9" s="18">
        <v>160.0</v>
      </c>
      <c r="E9" s="15">
        <f t="shared" si="1"/>
        <v>0.380952381</v>
      </c>
      <c r="F9" s="18">
        <v>2400.0</v>
      </c>
      <c r="G9" s="18">
        <v>500.0</v>
      </c>
      <c r="H9" s="18">
        <f t="shared" si="2"/>
        <v>2900</v>
      </c>
      <c r="I9" s="38">
        <f t="shared" si="3"/>
        <v>6.904761905</v>
      </c>
      <c r="J9" s="38">
        <f t="shared" si="4"/>
        <v>18.125</v>
      </c>
    </row>
    <row r="10" ht="15.0" customHeight="1">
      <c r="A10" s="39" t="s">
        <v>81</v>
      </c>
      <c r="B10" s="39" t="s">
        <v>82</v>
      </c>
      <c r="C10" s="40">
        <v>22000.0</v>
      </c>
      <c r="D10" s="40">
        <v>7300.0</v>
      </c>
      <c r="E10" s="41">
        <f t="shared" si="1"/>
        <v>0.3318181818</v>
      </c>
      <c r="F10" s="40">
        <v>98000.0</v>
      </c>
      <c r="G10" s="40">
        <v>20000.0</v>
      </c>
      <c r="H10" s="40">
        <f t="shared" si="2"/>
        <v>118000</v>
      </c>
      <c r="I10" s="42">
        <f t="shared" si="3"/>
        <v>5.363636364</v>
      </c>
      <c r="J10" s="42">
        <f t="shared" si="4"/>
        <v>16.16438356</v>
      </c>
    </row>
    <row r="11">
      <c r="A11" s="43"/>
      <c r="B11" s="2"/>
      <c r="C11" s="2"/>
      <c r="D11" s="2"/>
      <c r="E11" s="2"/>
      <c r="F11" s="2"/>
      <c r="G11" s="2"/>
      <c r="H11" s="2"/>
      <c r="I11" s="2"/>
      <c r="J11" s="3"/>
    </row>
    <row r="12" ht="15.0" customHeight="1">
      <c r="A12" s="44" t="s">
        <v>83</v>
      </c>
      <c r="I12" s="45">
        <f t="shared" ref="I12:J12" si="5">PERCENTILE(I3:I10,0.25)</f>
        <v>3.90305687</v>
      </c>
      <c r="J12" s="45">
        <f t="shared" si="5"/>
        <v>11.67794084</v>
      </c>
    </row>
    <row r="13" ht="15.0" customHeight="1">
      <c r="A13" s="44" t="s">
        <v>84</v>
      </c>
      <c r="I13" s="45">
        <f t="shared" ref="I13:J13" si="6">MEDIAN(I3:I10)</f>
        <v>4.967532468</v>
      </c>
      <c r="J13" s="45">
        <f t="shared" si="6"/>
        <v>17.14469178</v>
      </c>
    </row>
    <row r="14" ht="15.0" customHeight="1">
      <c r="A14" s="44" t="s">
        <v>85</v>
      </c>
      <c r="I14" s="45">
        <f t="shared" ref="I14:J14" si="7">AVERAGE(I3:I10)</f>
        <v>7.046725677</v>
      </c>
      <c r="J14" s="45">
        <f t="shared" si="7"/>
        <v>20.85987256</v>
      </c>
    </row>
    <row r="15" ht="15.0" customHeight="1">
      <c r="A15" s="44" t="s">
        <v>86</v>
      </c>
      <c r="I15" s="45">
        <f t="shared" ref="I15:J15" si="8">PERCENTILE(I3:I10,0.75)</f>
        <v>5.955472379</v>
      </c>
      <c r="J15" s="45">
        <f t="shared" si="8"/>
        <v>25.63282753</v>
      </c>
    </row>
    <row r="18" ht="15.75" customHeight="1">
      <c r="A18" s="46" t="s">
        <v>87</v>
      </c>
      <c r="B18" s="2"/>
      <c r="C18" s="2"/>
      <c r="D18" s="2"/>
      <c r="E18" s="2"/>
      <c r="F18" s="2"/>
      <c r="G18" s="2"/>
      <c r="H18" s="2"/>
      <c r="I18" s="2"/>
      <c r="J18" s="3"/>
    </row>
    <row r="19" ht="13.5" customHeight="1">
      <c r="A19" s="13" t="s">
        <v>88</v>
      </c>
      <c r="B19" s="47">
        <v>7688.0</v>
      </c>
    </row>
    <row r="20" ht="13.5" customHeight="1">
      <c r="A20" s="13" t="s">
        <v>89</v>
      </c>
      <c r="B20" s="47">
        <v>5920.0</v>
      </c>
    </row>
    <row r="21" ht="13.5" customHeight="1">
      <c r="A21" s="13" t="s">
        <v>90</v>
      </c>
      <c r="B21" s="47">
        <v>-1122.0</v>
      </c>
    </row>
    <row r="22" ht="13.5" customHeight="1">
      <c r="A22" s="13" t="s">
        <v>91</v>
      </c>
      <c r="B22" s="47">
        <v>190.2</v>
      </c>
    </row>
    <row r="23" ht="13.5" customHeight="1">
      <c r="A23" s="9" t="s">
        <v>92</v>
      </c>
      <c r="B23" s="19">
        <f>I13*B19</f>
        <v>38190.38961</v>
      </c>
    </row>
    <row r="24" ht="13.5" customHeight="1">
      <c r="A24" s="9" t="s">
        <v>93</v>
      </c>
      <c r="B24" s="19">
        <f>J13*B20</f>
        <v>101496.5753</v>
      </c>
    </row>
    <row r="25" ht="13.5" customHeight="1">
      <c r="A25" s="9" t="s">
        <v>94</v>
      </c>
      <c r="B25" s="48">
        <f>(I13*B19-B21)/B22</f>
        <v>206.6897456</v>
      </c>
    </row>
    <row r="26" ht="13.5" customHeight="1">
      <c r="A26" s="9" t="s">
        <v>95</v>
      </c>
      <c r="B26" s="48">
        <f>(J13*B20-B21)/B22</f>
        <v>539.5298388</v>
      </c>
    </row>
    <row r="27" ht="15.75" customHeight="1"/>
    <row r="28" ht="15.75" customHeight="1"/>
    <row r="29" ht="15.75" customHeight="1">
      <c r="A29" s="46" t="s">
        <v>96</v>
      </c>
      <c r="B29" s="2"/>
      <c r="C29" s="2"/>
      <c r="D29" s="2"/>
      <c r="E29" s="2"/>
      <c r="F29" s="2"/>
      <c r="G29" s="2"/>
      <c r="H29" s="2"/>
      <c r="I29" s="2"/>
      <c r="J29" s="3"/>
    </row>
    <row r="30" ht="13.5" customHeight="1">
      <c r="A30" s="9" t="s">
        <v>97</v>
      </c>
      <c r="B30" s="49">
        <f>DCF!C42</f>
        <v>420.5730825</v>
      </c>
    </row>
    <row r="31" ht="13.5" customHeight="1">
      <c r="A31" s="9" t="s">
        <v>98</v>
      </c>
      <c r="B31" s="49">
        <f>(I13*B19-B21)/B22</f>
        <v>206.6897456</v>
      </c>
    </row>
    <row r="32" ht="13.5" customHeight="1">
      <c r="A32" s="9" t="s">
        <v>99</v>
      </c>
      <c r="B32" s="49">
        <f>(J13*B20-B21)/B22</f>
        <v>539.5298388</v>
      </c>
    </row>
    <row r="33" ht="13.5" customHeight="1">
      <c r="A33" s="9" t="s">
        <v>100</v>
      </c>
      <c r="B33" s="50">
        <v>122.0</v>
      </c>
    </row>
    <row r="34" ht="13.5" customHeight="1">
      <c r="A34" s="9" t="s">
        <v>101</v>
      </c>
      <c r="B34" s="50">
        <v>72.0</v>
      </c>
    </row>
    <row r="35" ht="13.5" customHeight="1">
      <c r="A35" s="9" t="s">
        <v>102</v>
      </c>
      <c r="B35" s="50">
        <v>86.26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11:J11"/>
    <mergeCell ref="A18:J18"/>
    <mergeCell ref="A29:J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30.0"/>
    <col customWidth="1" min="4" max="26" width="8.71"/>
  </cols>
  <sheetData>
    <row r="1" ht="25.5" customHeight="1">
      <c r="A1" s="1" t="s">
        <v>103</v>
      </c>
      <c r="B1" s="2"/>
      <c r="C1" s="3"/>
    </row>
    <row r="2" ht="15.75" customHeight="1">
      <c r="A2" s="8" t="s">
        <v>104</v>
      </c>
      <c r="B2" s="2"/>
      <c r="C2" s="3"/>
    </row>
    <row r="3" ht="15.0" customHeight="1">
      <c r="A3" s="13" t="s">
        <v>105</v>
      </c>
      <c r="B3" s="51">
        <v>0.043</v>
      </c>
      <c r="C3" s="52" t="s">
        <v>106</v>
      </c>
    </row>
    <row r="4" ht="15.0" customHeight="1">
      <c r="A4" s="13" t="s">
        <v>107</v>
      </c>
      <c r="B4" s="51">
        <v>0.055</v>
      </c>
      <c r="C4" s="52" t="s">
        <v>108</v>
      </c>
    </row>
    <row r="5" ht="15.0" customHeight="1">
      <c r="A5" s="13" t="s">
        <v>109</v>
      </c>
      <c r="B5" s="53">
        <v>0.85</v>
      </c>
      <c r="C5" s="52" t="s">
        <v>110</v>
      </c>
    </row>
    <row r="6" ht="15.0" customHeight="1">
      <c r="A6" s="13" t="s">
        <v>111</v>
      </c>
      <c r="B6" s="51">
        <v>0.02</v>
      </c>
      <c r="C6" s="52" t="s">
        <v>112</v>
      </c>
    </row>
    <row r="7" ht="15.0" customHeight="1">
      <c r="A7" s="13" t="s">
        <v>113</v>
      </c>
      <c r="B7" s="51">
        <v>0.025</v>
      </c>
      <c r="C7" s="52" t="s">
        <v>114</v>
      </c>
    </row>
    <row r="8" ht="15.0" customHeight="1">
      <c r="A8" s="9" t="s">
        <v>115</v>
      </c>
      <c r="B8" s="54">
        <f>B3+B5*B4+B6+B7</f>
        <v>0.13475</v>
      </c>
      <c r="C8" s="52" t="s">
        <v>116</v>
      </c>
    </row>
    <row r="9" ht="15.75" customHeight="1">
      <c r="A9" s="8" t="s">
        <v>117</v>
      </c>
      <c r="B9" s="2"/>
      <c r="C9" s="3"/>
    </row>
    <row r="10" ht="15.0" customHeight="1">
      <c r="A10" s="13" t="s">
        <v>118</v>
      </c>
      <c r="B10" s="51">
        <v>0.065</v>
      </c>
      <c r="C10" s="52" t="s">
        <v>119</v>
      </c>
    </row>
    <row r="11" ht="15.0" customHeight="1">
      <c r="A11" s="13" t="s">
        <v>120</v>
      </c>
      <c r="B11" s="51">
        <v>0.2</v>
      </c>
      <c r="C11" s="52" t="s">
        <v>121</v>
      </c>
    </row>
    <row r="12" ht="15.0" customHeight="1">
      <c r="A12" s="9" t="s">
        <v>122</v>
      </c>
      <c r="B12" s="54">
        <f>B10*(1-B11)</f>
        <v>0.052</v>
      </c>
      <c r="C12" s="52" t="s">
        <v>123</v>
      </c>
    </row>
    <row r="13" ht="15.75" customHeight="1">
      <c r="A13" s="8" t="s">
        <v>124</v>
      </c>
      <c r="B13" s="2"/>
      <c r="C13" s="3"/>
    </row>
    <row r="14" ht="15.0" customHeight="1">
      <c r="A14" s="13" t="s">
        <v>125</v>
      </c>
      <c r="B14" s="55">
        <v>16040.0</v>
      </c>
      <c r="C14" s="52" t="s">
        <v>126</v>
      </c>
    </row>
    <row r="15" ht="15.0" customHeight="1">
      <c r="A15" s="13" t="s">
        <v>127</v>
      </c>
      <c r="B15" s="55">
        <v>698.0</v>
      </c>
      <c r="C15" s="52" t="s">
        <v>128</v>
      </c>
    </row>
    <row r="16" ht="15.0" customHeight="1">
      <c r="A16" s="9" t="s">
        <v>129</v>
      </c>
      <c r="B16" s="12">
        <f>B14+B15</f>
        <v>16738</v>
      </c>
    </row>
    <row r="17" ht="15.0" customHeight="1">
      <c r="A17" s="9" t="s">
        <v>130</v>
      </c>
      <c r="B17" s="54">
        <f>B14/B16</f>
        <v>0.9582984825</v>
      </c>
    </row>
    <row r="18" ht="15.0" customHeight="1">
      <c r="A18" s="9" t="s">
        <v>131</v>
      </c>
      <c r="B18" s="54">
        <f>B15/B16</f>
        <v>0.04170151751</v>
      </c>
    </row>
    <row r="19" ht="15.75" customHeight="1">
      <c r="A19" s="8" t="s">
        <v>132</v>
      </c>
      <c r="B19" s="2"/>
      <c r="C19" s="3"/>
    </row>
    <row r="20" ht="15.0" customHeight="1">
      <c r="A20" s="9" t="s">
        <v>133</v>
      </c>
      <c r="B20" s="56">
        <f>B17*B8+B18*B12</f>
        <v>0.1312991994</v>
      </c>
      <c r="C20" s="52" t="s">
        <v>134</v>
      </c>
    </row>
    <row r="21" ht="15.75" customHeight="1"/>
    <row r="22" ht="31.5" customHeight="1">
      <c r="A22" s="57">
        <f>B20</f>
        <v>0.1312991994</v>
      </c>
      <c r="B22" s="2"/>
      <c r="C22" s="3"/>
    </row>
    <row r="23" ht="6.0" customHeight="1"/>
    <row r="24" ht="15.75" customHeight="1">
      <c r="A24" s="8" t="s">
        <v>135</v>
      </c>
      <c r="B24" s="2"/>
      <c r="C24" s="3"/>
    </row>
    <row r="25" ht="13.5" customHeight="1">
      <c r="A25" s="9" t="s">
        <v>136</v>
      </c>
      <c r="B25" s="58">
        <v>0.6</v>
      </c>
      <c r="C25" s="58">
        <v>0.7</v>
      </c>
      <c r="D25" s="58">
        <v>0.8</v>
      </c>
      <c r="E25" s="58">
        <v>0.9</v>
      </c>
      <c r="F25" s="58">
        <v>1.0</v>
      </c>
      <c r="G25" s="58">
        <v>1.1</v>
      </c>
      <c r="H25" s="58">
        <v>1.2</v>
      </c>
    </row>
    <row r="26" ht="13.5" customHeight="1">
      <c r="A26" s="13" t="s">
        <v>137</v>
      </c>
      <c r="B26" s="59">
        <f>$B$3+0.6*$B$4+$B$6+$B$7</f>
        <v>0.121</v>
      </c>
      <c r="C26" s="59">
        <f>$B$3+0.7*$B$4+$B$6+$B$7</f>
        <v>0.1265</v>
      </c>
      <c r="D26" s="59">
        <f>$B$3+0.8*$B$4+$B$6+$B$7</f>
        <v>0.132</v>
      </c>
      <c r="E26" s="59">
        <f>$B$3+0.9*$B$4+$B$6+$B$7</f>
        <v>0.1375</v>
      </c>
      <c r="F26" s="59">
        <f>$B$3+1*$B$4+$B$6+$B$7</f>
        <v>0.143</v>
      </c>
      <c r="G26" s="59">
        <f>$B$3+1.1*$B$4+$B$6+$B$7</f>
        <v>0.1485</v>
      </c>
      <c r="H26" s="59">
        <f>$B$3+1.2*$B$4+$B$6+$B$7</f>
        <v>0.154</v>
      </c>
    </row>
    <row r="27" ht="13.5" customHeight="1">
      <c r="A27" s="9" t="s">
        <v>138</v>
      </c>
      <c r="B27" s="60">
        <f t="shared" ref="B27:H27" si="1">$B$17*B26+$B$18*$B$12</f>
        <v>0.1181225953</v>
      </c>
      <c r="C27" s="60">
        <f t="shared" si="1"/>
        <v>0.1233932369</v>
      </c>
      <c r="D27" s="60">
        <f t="shared" si="1"/>
        <v>0.1286638786</v>
      </c>
      <c r="E27" s="60">
        <f t="shared" si="1"/>
        <v>0.1339345203</v>
      </c>
      <c r="F27" s="60">
        <f t="shared" si="1"/>
        <v>0.1392051619</v>
      </c>
      <c r="G27" s="60">
        <f t="shared" si="1"/>
        <v>0.1444758036</v>
      </c>
      <c r="H27" s="60">
        <f t="shared" si="1"/>
        <v>0.1497464452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9:C9"/>
    <mergeCell ref="A13:C13"/>
    <mergeCell ref="A19:C19"/>
    <mergeCell ref="A22:C22"/>
    <mergeCell ref="A24:C24"/>
  </mergeCells>
  <printOptions/>
  <pageMargins bottom="1.0" footer="0.0" header="0.0" left="0.75" right="0.75" top="1.0"/>
  <pageSetup paperSize="9" orientation="portrait"/>
  <drawing r:id="rId1"/>
</worksheet>
</file>